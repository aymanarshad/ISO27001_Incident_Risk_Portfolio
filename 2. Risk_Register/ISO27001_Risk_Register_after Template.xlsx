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<sst xmlns="http://schemas.openxmlformats.org/spreadsheetml/2006/main" count="46" uniqueCount="42">
  <si>
    <t>Risk ID</t>
  </si>
  <si>
    <t>Asset / Process</t>
  </si>
  <si>
    <t>Threat</t>
  </si>
  <si>
    <t>Vulnerability</t>
  </si>
  <si>
    <t>Existing Controls</t>
  </si>
  <si>
    <t>Likelihood (1–5)</t>
  </si>
  <si>
    <t>Impact (1–5)</t>
  </si>
  <si>
    <t>Inherent Risk Score</t>
  </si>
  <si>
    <t>Risk Level</t>
  </si>
  <si>
    <t>Risk Owner</t>
  </si>
  <si>
    <t>Risk Treatment</t>
  </si>
  <si>
    <t>Treatment Actions</t>
  </si>
  <si>
    <t>Target Controls</t>
  </si>
  <si>
    <t>Residual Likelihood</t>
  </si>
  <si>
    <t>Residual Impact</t>
  </si>
  <si>
    <t>Residual Risk Score</t>
  </si>
  <si>
    <t>Residual Risk Level</t>
  </si>
  <si>
    <t>Status</t>
  </si>
  <si>
    <t>Linked Incident ID</t>
  </si>
  <si>
    <t>Evidence File</t>
  </si>
  <si>
    <t>R-011</t>
  </si>
  <si>
    <t>HR Payroll System</t>
  </si>
  <si>
    <t>Unauthorized access</t>
  </si>
  <si>
    <t>Weak password policy; no MFA</t>
  </si>
  <si>
    <t>Password policy; audit logs</t>
  </si>
  <si>
    <t>Medium</t>
  </si>
  <si>
    <t>IT Security Manager</t>
  </si>
  <si>
    <t>Mitigate</t>
  </si>
  <si>
    <t>Enforce MFA; review access</t>
  </si>
  <si>
    <t>A.9.2, A.9.4, A.12.4</t>
  </si>
  <si>
    <t>Open</t>
  </si>
  <si>
    <t>IR-2024-000</t>
  </si>
  <si>
    <t>incident-placeholder.md</t>
  </si>
  <si>
    <t>R-012</t>
  </si>
  <si>
    <t>Corporate Email System</t>
  </si>
  <si>
    <t>Phishing attack</t>
  </si>
  <si>
    <t>Insufficient user awareness; no MFA</t>
  </si>
  <si>
    <t>Basic spam filtering; password policy</t>
  </si>
  <si>
    <t>Implement MFA; phishing training</t>
  </si>
  <si>
    <t>A.6.3, A.8.23, A.5.17</t>
  </si>
  <si>
    <t>IR-2024-001</t>
  </si>
  <si>
    <t>incident-report.md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</si>
</sst>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u/>
      <color rgb="FF0000FF"/>
      <name val="Arial"/>
    </font>
    <font>
      <color theme="1"/>
      <name val="Calibri"/>
      <scheme val="minor"/>
    </font>
    <font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cident-placeholder.md/" TargetMode="External"/><Relationship Id="rId2" Type="http://schemas.openxmlformats.org/officeDocument/2006/relationships/hyperlink" Target="http://incident-report.md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4.71"/>
    <col customWidth="1" min="3" max="3" width="21.0"/>
    <col customWidth="1" min="4" max="4" width="35.14"/>
    <col customWidth="1" min="5" max="5" width="34.71"/>
    <col customWidth="1" min="6" max="6" width="17.43"/>
    <col customWidth="1" min="7" max="7" width="17.29"/>
    <col customWidth="1" min="8" max="8" width="23.57"/>
    <col customWidth="1" min="9" max="9" width="14.29"/>
    <col customWidth="1" min="10" max="10" width="21.0"/>
    <col customWidth="1" min="11" max="11" width="18.14"/>
    <col customWidth="1" min="12" max="12" width="33.0"/>
    <col customWidth="1" min="13" max="13" width="22.43"/>
    <col customWidth="1" min="14" max="14" width="22.57"/>
    <col customWidth="1" min="15" max="15" width="16.86"/>
    <col customWidth="1" min="16" max="16" width="21.43"/>
    <col customWidth="1" min="17" max="17" width="19.71"/>
    <col customWidth="1" min="18" max="18" width="15.71"/>
    <col customWidth="1" min="19" max="19" width="17.57"/>
    <col customWidth="1" min="20" max="20" width="16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3.0</v>
      </c>
      <c r="G2" s="3">
        <v>4.0</v>
      </c>
      <c r="H2" s="3">
        <v>12.0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>
        <v>3.0</v>
      </c>
      <c r="O2" s="3">
        <v>4.0</v>
      </c>
      <c r="P2" s="3">
        <v>12.0</v>
      </c>
      <c r="Q2" s="2" t="s">
        <v>25</v>
      </c>
      <c r="R2" s="2" t="s">
        <v>30</v>
      </c>
      <c r="S2" s="2" t="s">
        <v>31</v>
      </c>
      <c r="T2" s="4" t="s">
        <v>32</v>
      </c>
      <c r="U2" s="2"/>
      <c r="V2" s="2"/>
      <c r="W2" s="2"/>
      <c r="X2" s="2"/>
      <c r="Y2" s="2"/>
      <c r="Z2" s="2"/>
    </row>
    <row r="3">
      <c r="A3" s="5" t="s">
        <v>33</v>
      </c>
      <c r="B3" s="5" t="s">
        <v>34</v>
      </c>
      <c r="C3" s="5" t="s">
        <v>35</v>
      </c>
      <c r="D3" s="5" t="s">
        <v>36</v>
      </c>
      <c r="E3" s="5" t="s">
        <v>37</v>
      </c>
      <c r="F3" s="5">
        <v>4.0</v>
      </c>
      <c r="G3" s="5">
        <v>4.0</v>
      </c>
      <c r="H3" s="5">
        <f>F3*G3</f>
        <v>16</v>
      </c>
      <c r="I3" s="5" t="str">
        <f>IF(H3&gt;=16,"High",IF(H3&gt;=9,"Medium","Low"))</f>
        <v>High</v>
      </c>
      <c r="J3" s="5" t="s">
        <v>26</v>
      </c>
      <c r="K3" s="5" t="s">
        <v>27</v>
      </c>
      <c r="L3" s="5" t="s">
        <v>38</v>
      </c>
      <c r="M3" s="5" t="s">
        <v>39</v>
      </c>
      <c r="N3" s="5">
        <v>2.0</v>
      </c>
      <c r="O3" s="5">
        <v>3.0</v>
      </c>
      <c r="P3" s="5">
        <f>N3*O3</f>
        <v>6</v>
      </c>
      <c r="Q3" s="5" t="str">
        <f>IF(P3&gt;=16,"High",IF(P3&gt;=9,"Medium","Low"))</f>
        <v>Low</v>
      </c>
      <c r="R3" s="5" t="s">
        <v>30</v>
      </c>
      <c r="S3" s="5" t="s">
        <v>40</v>
      </c>
      <c r="T3" s="6" t="s">
        <v>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T2"/>
    <hyperlink r:id="rId2" ref="T3"/>
  </hyperlinks>
  <printOptions/>
  <pageMargins bottom="0.75" footer="0.0" header="0.0" left="0.7" right="0.7" top="0.75"/>
  <pageSetup orientation="landscape"/>
  <drawing r:id="rId3"/>
</worksheet>
</file>